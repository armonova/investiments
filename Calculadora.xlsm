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rthu\Documents\Investimentos\"/>
    </mc:Choice>
  </mc:AlternateContent>
  <xr:revisionPtr revIDLastSave="0" documentId="13_ncr:1_{FA64C6A0-E041-481A-904C-72D4D8299D32}" xr6:coauthVersionLast="47" xr6:coauthVersionMax="47" xr10:uidLastSave="{00000000-0000-0000-0000-000000000000}"/>
  <bookViews>
    <workbookView xWindow="-60" yWindow="16080" windowWidth="29040" windowHeight="15720" xr2:uid="{54988723-F520-4BA7-9404-D4734BA27031}"/>
  </bookViews>
  <sheets>
    <sheet name="Planilha1" sheetId="1" r:id="rId1"/>
    <sheet name="Cálculo de taxa ao mês" sheetId="2" r:id="rId2"/>
    <sheet name="Imposto de renda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</calcChain>
</file>

<file path=xl/sharedStrings.xml><?xml version="1.0" encoding="utf-8"?>
<sst xmlns="http://schemas.openxmlformats.org/spreadsheetml/2006/main" count="23" uniqueCount="22">
  <si>
    <t>Tipo de investimento</t>
  </si>
  <si>
    <t>Investimento inicial</t>
  </si>
  <si>
    <t>Investimento mensal</t>
  </si>
  <si>
    <t>Rentabilidade</t>
  </si>
  <si>
    <t>Valor total bruto</t>
  </si>
  <si>
    <t>Valor investido</t>
  </si>
  <si>
    <t>Valor em juros</t>
  </si>
  <si>
    <t>Imposto de renda sobre a rentabilidade</t>
  </si>
  <si>
    <t>Valor total liquido</t>
  </si>
  <si>
    <t>LCI/LCA</t>
  </si>
  <si>
    <t>Prazo (Meses)</t>
  </si>
  <si>
    <t>iM</t>
  </si>
  <si>
    <t>taxa mensal</t>
  </si>
  <si>
    <t>ia</t>
  </si>
  <si>
    <t>taxa anual</t>
  </si>
  <si>
    <t>Valor pago em impostos</t>
  </si>
  <si>
    <t>IPCA</t>
  </si>
  <si>
    <t>CDI</t>
  </si>
  <si>
    <t>N/A</t>
  </si>
  <si>
    <t>Rentabilidade a.a.</t>
  </si>
  <si>
    <t>Pré / Pós
IPCA</t>
  </si>
  <si>
    <t>Pré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</si>
</sst>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44" fontId="0" fillId="0" borderId="0" xfId="1" applyFo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44" fontId="0" fillId="0" borderId="4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4" fontId="0" fillId="0" borderId="5" xfId="1" applyFont="1" applyBorder="1" applyAlignment="1">
      <alignment horizontal="center" vertical="center" wrapText="1"/>
    </xf>
    <xf numFmtId="10" fontId="0" fillId="0" borderId="7" xfId="2" applyNumberFormat="1" applyFont="1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44" fontId="0" fillId="0" borderId="11" xfId="1" applyFont="1" applyBorder="1" applyAlignment="1">
      <alignment horizontal="center" vertical="center" wrapText="1"/>
    </xf>
    <xf numFmtId="44" fontId="0" fillId="0" borderId="12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2" applyNumberFormat="1" applyFont="1" applyFill="1" applyAlignment="1">
      <alignment horizontal="center"/>
    </xf>
    <xf numFmtId="164" fontId="0" fillId="0" borderId="0" xfId="2" applyNumberFormat="1" applyFont="1"/>
    <xf numFmtId="164" fontId="0" fillId="0" borderId="4" xfId="2" applyNumberFormat="1" applyFont="1" applyBorder="1" applyAlignment="1">
      <alignment horizontal="center" vertical="center" wrapText="1"/>
    </xf>
    <xf numFmtId="164" fontId="0" fillId="0" borderId="1" xfId="2" applyNumberFormat="1" applyFont="1" applyBorder="1" applyAlignment="1">
      <alignment horizontal="center" vertical="center"/>
    </xf>
    <xf numFmtId="164" fontId="0" fillId="0" borderId="9" xfId="2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8">
    <dxf>
      <numFmt numFmtId="164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76200</xdr:rowOff>
        </xdr:from>
        <xdr:to>
          <xdr:col>2</xdr:col>
          <xdr:colOff>1438275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12</xdr:row>
      <xdr:rowOff>0</xdr:rowOff>
    </xdr:from>
    <xdr:to>
      <xdr:col>8</xdr:col>
      <xdr:colOff>304800</xdr:colOff>
      <xdr:row>13</xdr:row>
      <xdr:rowOff>114300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5438775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200025</xdr:colOff>
      <xdr:row>2</xdr:row>
      <xdr:rowOff>19050</xdr:rowOff>
    </xdr:from>
    <xdr:to>
      <xdr:col>5</xdr:col>
      <xdr:colOff>162338</xdr:colOff>
      <xdr:row>5</xdr:row>
      <xdr:rowOff>95340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400050"/>
          <a:ext cx="2962688" cy="6477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470647</xdr:colOff>
      <xdr:row>2</xdr:row>
      <xdr:rowOff>123265</xdr:rowOff>
    </xdr:from>
    <xdr:to>
      <xdr:col>27</xdr:col>
      <xdr:colOff>535256</xdr:colOff>
      <xdr:row>29</xdr:row>
      <xdr:rowOff>8336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504265"/>
          <a:ext cx="16402785" cy="50285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D63216-D578-45C7-8C50-7EA11F2C8F1A}" name="Tabela1" displayName="Tabela1" ref="C4:O25" totalsRowShown="0" headerRowDxfId="17" dataDxfId="15" headerRowBorderDxfId="16" tableBorderDxfId="14" totalsRowBorderDxfId="13">
  <autoFilter ref="C4:O25" xr:uid="{7ED63216-D578-45C7-8C50-7EA11F2C8F1A}"/>
  <tableColumns count="13">
    <tableColumn id="1" xr3:uid="{4A26EC3A-FDE4-4661-863E-4ED82021081F}" name="Tipo de investimento" dataDxfId="12"/>
    <tableColumn id="2" xr3:uid="{21A780DC-A85C-4FDD-A8C8-7B0C034F62D8}" name="Investimento inicial" dataDxfId="11" dataCellStyle="Moeda"/>
    <tableColumn id="3" xr3:uid="{4FD11DE0-9003-4172-A0B0-82F713A64F98}" name="Pré / Pós_x000a_IPCA" dataDxfId="10"/>
    <tableColumn id="4" xr3:uid="{C922A90C-BC9F-4FD3-A0FE-184ED0C9B872}" name="Investimento mensal" dataDxfId="9" dataCellStyle="Moeda"/>
    <tableColumn id="5" xr3:uid="{BE147DC8-0D00-4747-8CCC-D29C462F0DD3}" name="Prazo (Meses)" dataDxfId="8"/>
    <tableColumn id="6" xr3:uid="{DA79723F-A57B-49C6-8981-D2C63805D034}" name="Rentabilidade" dataDxfId="7"/>
    <tableColumn id="14" xr3:uid="{F4CF0475-A501-4556-9685-C2002CB15BF9}" name="Rentabilidade a.a." dataDxfId="6">
      <calculatedColumnFormula>IF(Tabela1[[#This Row],[Pré / Pós
IPCA]]="Pré", CONCATENATE(Tabela1[[#This Row],[Rentabilidade]]*100, "% a.a."), IF(Tabela1[[#This Row],[Pré / Pós
IPCA]]="Pós", CONCATENATE(Tabela1[[#This Row],[Rentabilidade]]*100,"% CDI a.a."), IF(Tabela1[[#This Row],[Pré / Pós
IPCA]]="IPCA",CONCATENATE(Tabela1[[#This Row],[Rentabilidade]]*100,"% + IPCA a.a.",))))</calculatedColumnFormula>
    </tableColumn>
    <tableColumn id="7" xr3:uid="{1C67CAED-EC0C-4090-A840-16A2E4E10CDE}" name="Valor total bruto" dataDxfId="5" dataCellStyle="Moeda"/>
    <tableColumn id="13" xr3:uid="{D0B28BBE-A877-48C0-9A13-05FE6204BA90}" name="Valor investido" dataDxfId="4" dataCellStyle="Moeda"/>
    <tableColumn id="9" xr3:uid="{2115C165-3C6C-4279-936A-A4515BFB7F13}" name="Valor pago em impostos" dataDxfId="3" dataCellStyle="Moeda"/>
    <tableColumn id="10" xr3:uid="{F8AD8E21-0502-4D1E-BF40-A2F087115FCF}" name="Imposto de renda sobre a rentabilidade" dataDxfId="0" dataCellStyle="Porcentagem"/>
    <tableColumn id="11" xr3:uid="{5912F275-851A-4B49-8ABE-C19BCA4EDFCE}" name="Valor em juros" dataDxfId="2" dataCellStyle="Moeda"/>
    <tableColumn id="12" xr3:uid="{4BDDB336-FEE4-4B99-B331-905E01AFA07C}" name="Valor total liquido" dataDxfId="1" dataCellStyle="Moeda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B60A-57B5-4A38-ADF8-D558F0D94406}">
  <sheetPr codeName="Planilha1"/>
  <dimension ref="C1:O25"/>
  <sheetViews>
    <sheetView tabSelected="1" zoomScale="115" zoomScaleNormal="115" workbookViewId="0">
      <selection activeCell="C5" sqref="C5"/>
    </sheetView>
  </sheetViews>
  <sheetFormatPr defaultRowHeight="15" x14ac:dyDescent="0.25"/>
  <cols>
    <col min="3" max="3" width="14" customWidth="1"/>
    <col min="4" max="4" width="15.140625" style="1" customWidth="1"/>
    <col min="5" max="5" width="12.7109375" customWidth="1"/>
    <col min="6" max="6" width="18" style="1" bestFit="1" customWidth="1"/>
    <col min="7" max="7" width="12.85546875" bestFit="1" customWidth="1"/>
    <col min="8" max="8" width="18.140625" bestFit="1" customWidth="1"/>
    <col min="9" max="9" width="18.140625" style="1" bestFit="1" customWidth="1"/>
    <col min="10" max="10" width="14" style="1" bestFit="1" customWidth="1"/>
    <col min="11" max="11" width="18.42578125" bestFit="1" customWidth="1"/>
    <col min="12" max="12" width="27" style="1" bestFit="1" customWidth="1"/>
    <col min="13" max="13" width="14" style="27" bestFit="1" customWidth="1"/>
    <col min="14" max="14" width="15.28515625" style="1" bestFit="1" customWidth="1"/>
    <col min="15" max="15" width="14" bestFit="1" customWidth="1"/>
  </cols>
  <sheetData>
    <row r="1" spans="3:15" x14ac:dyDescent="0.25">
      <c r="E1" s="25" t="s">
        <v>16</v>
      </c>
      <c r="F1" s="26">
        <v>7.17E-2</v>
      </c>
    </row>
    <row r="2" spans="3:15" x14ac:dyDescent="0.25">
      <c r="E2" s="25" t="s">
        <v>17</v>
      </c>
      <c r="F2" s="26">
        <v>0.13650000000000001</v>
      </c>
    </row>
    <row r="3" spans="3:15" ht="15.75" thickBot="1" x14ac:dyDescent="0.3"/>
    <row r="4" spans="3:15" s="2" customFormat="1" ht="45" x14ac:dyDescent="0.25">
      <c r="C4" s="10" t="s">
        <v>0</v>
      </c>
      <c r="D4" s="11" t="s">
        <v>1</v>
      </c>
      <c r="E4" s="12" t="s">
        <v>20</v>
      </c>
      <c r="F4" s="11" t="s">
        <v>2</v>
      </c>
      <c r="G4" s="12" t="s">
        <v>10</v>
      </c>
      <c r="H4" s="12" t="s">
        <v>3</v>
      </c>
      <c r="I4" s="13" t="s">
        <v>19</v>
      </c>
      <c r="J4" s="20" t="s">
        <v>4</v>
      </c>
      <c r="K4" s="11" t="s">
        <v>5</v>
      </c>
      <c r="L4" s="11" t="s">
        <v>15</v>
      </c>
      <c r="M4" s="28" t="s">
        <v>7</v>
      </c>
      <c r="N4" s="11" t="s">
        <v>6</v>
      </c>
      <c r="O4" s="16" t="s">
        <v>8</v>
      </c>
    </row>
    <row r="5" spans="3:15" x14ac:dyDescent="0.25">
      <c r="C5" s="14" t="s">
        <v>9</v>
      </c>
      <c r="D5" s="4">
        <v>16335</v>
      </c>
      <c r="E5" s="3" t="s">
        <v>21</v>
      </c>
      <c r="F5" s="4">
        <v>111.11</v>
      </c>
      <c r="G5" s="3">
        <v>24</v>
      </c>
      <c r="H5" s="22">
        <v>0.1135</v>
      </c>
      <c r="I5" s="17" t="str">
        <f>IF(Tabela1[[#This Row],[Pré / Pós
IPCA]]="Pré", CONCATENATE(Tabela1[[#This Row],[Rentabilidade]]*100, "% a.a."), IF(Tabela1[[#This Row],[Pré / Pós
IPCA]]="Pós", CONCATENATE(Tabela1[[#This Row],[Rentabilidade]]*100,"% CDI a.a."), IF(Tabela1[[#This Row],[Pré / Pós
IPCA]]="IPCA",CONCATENATE(Tabela1[[#This Row],[Rentabilidade]]*100,"% + IPCA a.a.",))))</f>
        <v>11.35% a.a.</v>
      </c>
      <c r="J5" s="9">
        <v>23215.196616581645</v>
      </c>
      <c r="K5" s="4">
        <v>19001.64</v>
      </c>
      <c r="L5" s="4" t="s">
        <v>18</v>
      </c>
      <c r="M5" s="29" t="s">
        <v>18</v>
      </c>
      <c r="N5" s="4">
        <v>4213.5566165816454</v>
      </c>
      <c r="O5" s="5">
        <v>23215.196616581645</v>
      </c>
    </row>
    <row r="6" spans="3:15" x14ac:dyDescent="0.25">
      <c r="C6" s="14"/>
      <c r="D6" s="4"/>
      <c r="E6" s="3"/>
      <c r="F6" s="4"/>
      <c r="G6" s="3"/>
      <c r="H6" s="23"/>
      <c r="I6" s="18"/>
      <c r="J6" s="9"/>
      <c r="K6" s="4"/>
      <c r="L6" s="4"/>
      <c r="M6" s="29"/>
      <c r="N6" s="4"/>
      <c r="O6" s="5"/>
    </row>
    <row r="7" spans="3:15" x14ac:dyDescent="0.25">
      <c r="C7" s="14"/>
      <c r="D7" s="4"/>
      <c r="E7" s="3"/>
      <c r="F7" s="4"/>
      <c r="G7" s="3"/>
      <c r="H7" s="23"/>
      <c r="I7" s="18"/>
      <c r="J7" s="9"/>
      <c r="K7" s="4"/>
      <c r="L7" s="4"/>
      <c r="M7" s="29"/>
      <c r="N7" s="4"/>
      <c r="O7" s="5"/>
    </row>
    <row r="8" spans="3:15" x14ac:dyDescent="0.25">
      <c r="C8" s="14"/>
      <c r="D8" s="4"/>
      <c r="E8" s="3"/>
      <c r="F8" s="4"/>
      <c r="G8" s="3"/>
      <c r="H8" s="23"/>
      <c r="I8" s="18"/>
      <c r="J8" s="9"/>
      <c r="K8" s="4"/>
      <c r="L8" s="4"/>
      <c r="M8" s="29"/>
      <c r="N8" s="4"/>
      <c r="O8" s="5"/>
    </row>
    <row r="9" spans="3:15" x14ac:dyDescent="0.25">
      <c r="C9" s="14"/>
      <c r="D9" s="4"/>
      <c r="E9" s="3"/>
      <c r="F9" s="4"/>
      <c r="G9" s="3"/>
      <c r="H9" s="23"/>
      <c r="I9" s="18"/>
      <c r="J9" s="9"/>
      <c r="K9" s="4"/>
      <c r="L9" s="4"/>
      <c r="M9" s="29"/>
      <c r="N9" s="4"/>
      <c r="O9" s="5"/>
    </row>
    <row r="10" spans="3:15" x14ac:dyDescent="0.25">
      <c r="C10" s="14"/>
      <c r="D10" s="4"/>
      <c r="E10" s="3"/>
      <c r="F10" s="4"/>
      <c r="G10" s="3"/>
      <c r="H10" s="23"/>
      <c r="I10" s="18"/>
      <c r="J10" s="9"/>
      <c r="K10" s="4"/>
      <c r="L10" s="4"/>
      <c r="M10" s="29"/>
      <c r="N10" s="4"/>
      <c r="O10" s="5"/>
    </row>
    <row r="11" spans="3:15" x14ac:dyDescent="0.25">
      <c r="C11" s="14"/>
      <c r="D11" s="4"/>
      <c r="E11" s="3"/>
      <c r="F11" s="4"/>
      <c r="G11" s="3"/>
      <c r="H11" s="23"/>
      <c r="I11" s="18"/>
      <c r="J11" s="9"/>
      <c r="K11" s="4"/>
      <c r="L11" s="4"/>
      <c r="M11" s="29"/>
      <c r="N11" s="4"/>
      <c r="O11" s="5"/>
    </row>
    <row r="12" spans="3:15" x14ac:dyDescent="0.25">
      <c r="C12" s="14"/>
      <c r="D12" s="4"/>
      <c r="E12" s="3"/>
      <c r="F12" s="4"/>
      <c r="G12" s="3"/>
      <c r="H12" s="23"/>
      <c r="I12" s="18"/>
      <c r="J12" s="9"/>
      <c r="K12" s="4"/>
      <c r="L12" s="4"/>
      <c r="M12" s="29"/>
      <c r="N12" s="4"/>
      <c r="O12" s="5"/>
    </row>
    <row r="13" spans="3:15" x14ac:dyDescent="0.25">
      <c r="C13" s="14"/>
      <c r="D13" s="4"/>
      <c r="E13" s="3"/>
      <c r="F13" s="4"/>
      <c r="G13" s="3"/>
      <c r="H13" s="23"/>
      <c r="I13" s="18"/>
      <c r="J13" s="9"/>
      <c r="K13" s="4"/>
      <c r="L13" s="4"/>
      <c r="M13" s="29"/>
      <c r="N13" s="4"/>
      <c r="O13" s="5"/>
    </row>
    <row r="14" spans="3:15" x14ac:dyDescent="0.25">
      <c r="C14" s="14"/>
      <c r="D14" s="4"/>
      <c r="E14" s="3"/>
      <c r="F14" s="4"/>
      <c r="G14" s="3"/>
      <c r="H14" s="23"/>
      <c r="I14" s="18"/>
      <c r="J14" s="9"/>
      <c r="K14" s="4"/>
      <c r="L14" s="4"/>
      <c r="M14" s="29"/>
      <c r="N14" s="4"/>
      <c r="O14" s="5"/>
    </row>
    <row r="15" spans="3:15" x14ac:dyDescent="0.25">
      <c r="C15" s="14"/>
      <c r="D15" s="4"/>
      <c r="E15" s="3"/>
      <c r="F15" s="4"/>
      <c r="G15" s="3"/>
      <c r="H15" s="23"/>
      <c r="I15" s="18"/>
      <c r="J15" s="9"/>
      <c r="K15" s="4"/>
      <c r="L15" s="4"/>
      <c r="M15" s="29"/>
      <c r="N15" s="4"/>
      <c r="O15" s="5"/>
    </row>
    <row r="16" spans="3:15" x14ac:dyDescent="0.25">
      <c r="C16" s="14"/>
      <c r="D16" s="4"/>
      <c r="E16" s="3"/>
      <c r="F16" s="4"/>
      <c r="G16" s="3"/>
      <c r="H16" s="23"/>
      <c r="I16" s="18"/>
      <c r="J16" s="9"/>
      <c r="K16" s="4"/>
      <c r="L16" s="4"/>
      <c r="M16" s="29"/>
      <c r="N16" s="4"/>
      <c r="O16" s="5"/>
    </row>
    <row r="17" spans="3:15" x14ac:dyDescent="0.25">
      <c r="C17" s="14"/>
      <c r="D17" s="4"/>
      <c r="E17" s="3"/>
      <c r="F17" s="4"/>
      <c r="G17" s="3"/>
      <c r="H17" s="23"/>
      <c r="I17" s="18"/>
      <c r="J17" s="9"/>
      <c r="K17" s="4"/>
      <c r="L17" s="4"/>
      <c r="M17" s="29"/>
      <c r="N17" s="4"/>
      <c r="O17" s="5"/>
    </row>
    <row r="18" spans="3:15" x14ac:dyDescent="0.25">
      <c r="C18" s="14"/>
      <c r="D18" s="4"/>
      <c r="E18" s="3"/>
      <c r="F18" s="4"/>
      <c r="G18" s="3"/>
      <c r="H18" s="23"/>
      <c r="I18" s="18"/>
      <c r="J18" s="9"/>
      <c r="K18" s="4"/>
      <c r="L18" s="4"/>
      <c r="M18" s="29"/>
      <c r="N18" s="4"/>
      <c r="O18" s="5"/>
    </row>
    <row r="19" spans="3:15" x14ac:dyDescent="0.25">
      <c r="C19" s="14"/>
      <c r="D19" s="4"/>
      <c r="E19" s="3"/>
      <c r="F19" s="4"/>
      <c r="G19" s="3"/>
      <c r="H19" s="23"/>
      <c r="I19" s="18"/>
      <c r="J19" s="9"/>
      <c r="K19" s="4"/>
      <c r="L19" s="4"/>
      <c r="M19" s="29"/>
      <c r="N19" s="4"/>
      <c r="O19" s="5"/>
    </row>
    <row r="20" spans="3:15" x14ac:dyDescent="0.25">
      <c r="C20" s="14"/>
      <c r="D20" s="4"/>
      <c r="E20" s="3"/>
      <c r="F20" s="4"/>
      <c r="G20" s="3"/>
      <c r="H20" s="23"/>
      <c r="I20" s="18"/>
      <c r="J20" s="9"/>
      <c r="K20" s="4"/>
      <c r="L20" s="4"/>
      <c r="M20" s="29"/>
      <c r="N20" s="4"/>
      <c r="O20" s="5"/>
    </row>
    <row r="21" spans="3:15" x14ac:dyDescent="0.25">
      <c r="C21" s="14"/>
      <c r="D21" s="4"/>
      <c r="E21" s="3"/>
      <c r="F21" s="4"/>
      <c r="G21" s="3"/>
      <c r="H21" s="23"/>
      <c r="I21" s="18"/>
      <c r="J21" s="9"/>
      <c r="K21" s="4"/>
      <c r="L21" s="4"/>
      <c r="M21" s="29"/>
      <c r="N21" s="4"/>
      <c r="O21" s="5"/>
    </row>
    <row r="22" spans="3:15" x14ac:dyDescent="0.25">
      <c r="C22" s="14"/>
      <c r="D22" s="4"/>
      <c r="E22" s="3"/>
      <c r="F22" s="4"/>
      <c r="G22" s="3"/>
      <c r="H22" s="23"/>
      <c r="I22" s="18"/>
      <c r="J22" s="9"/>
      <c r="K22" s="4"/>
      <c r="L22" s="4"/>
      <c r="M22" s="29"/>
      <c r="N22" s="4"/>
      <c r="O22" s="5"/>
    </row>
    <row r="23" spans="3:15" x14ac:dyDescent="0.25">
      <c r="C23" s="14"/>
      <c r="D23" s="4"/>
      <c r="E23" s="3"/>
      <c r="F23" s="4"/>
      <c r="G23" s="3"/>
      <c r="H23" s="23"/>
      <c r="I23" s="18"/>
      <c r="J23" s="9"/>
      <c r="K23" s="4"/>
      <c r="L23" s="4"/>
      <c r="M23" s="29"/>
      <c r="N23" s="4"/>
      <c r="O23" s="5"/>
    </row>
    <row r="24" spans="3:15" x14ac:dyDescent="0.25">
      <c r="C24" s="14"/>
      <c r="D24" s="4"/>
      <c r="E24" s="3"/>
      <c r="F24" s="4"/>
      <c r="G24" s="3"/>
      <c r="H24" s="23"/>
      <c r="I24" s="18"/>
      <c r="J24" s="9"/>
      <c r="K24" s="4"/>
      <c r="L24" s="4"/>
      <c r="M24" s="29"/>
      <c r="N24" s="4"/>
      <c r="O24" s="5"/>
    </row>
    <row r="25" spans="3:15" ht="15.75" thickBot="1" x14ac:dyDescent="0.3">
      <c r="C25" s="15"/>
      <c r="D25" s="6"/>
      <c r="E25" s="7"/>
      <c r="F25" s="6"/>
      <c r="G25" s="7"/>
      <c r="H25" s="24"/>
      <c r="I25" s="19"/>
      <c r="J25" s="21"/>
      <c r="K25" s="6"/>
      <c r="L25" s="6"/>
      <c r="M25" s="30"/>
      <c r="N25" s="6"/>
      <c r="O25" s="8"/>
    </row>
  </sheetData>
  <dataValidations count="2">
    <dataValidation type="list" allowBlank="1" showInputMessage="1" showErrorMessage="1" sqref="C5:C25" xr:uid="{B6C4536B-50A5-43BA-B021-D37CE6FE2D29}">
      <formula1>"CDB/LC/Títulos públicos/Debêntures, LCI/LCA, Tesouro"</formula1>
    </dataValidation>
    <dataValidation type="list" allowBlank="1" showInputMessage="1" showErrorMessage="1" sqref="E5:E25" xr:uid="{7A7DF824-4B40-4D9E-84BE-B29B53C918B2}">
      <formula1>"Pré, Pós, IPCA"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">
                <anchor moveWithCells="1" sizeWithCells="1">
                  <from>
                    <xdr:col>2</xdr:col>
                    <xdr:colOff>47625</xdr:colOff>
                    <xdr:row>0</xdr:row>
                    <xdr:rowOff>76200</xdr:rowOff>
                  </from>
                  <to>
                    <xdr:col>2</xdr:col>
                    <xdr:colOff>1438275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E980-D0AB-4888-9FD2-39DFBCB31FEC}">
  <sheetPr codeName="Planilha2"/>
  <dimension ref="B7:C8"/>
  <sheetViews>
    <sheetView workbookViewId="0">
      <selection activeCell="D13" sqref="D13"/>
    </sheetView>
  </sheetViews>
  <sheetFormatPr defaultRowHeight="15" x14ac:dyDescent="0.25"/>
  <cols>
    <col min="4" max="4" width="14.140625" bestFit="1" customWidth="1"/>
    <col min="5" max="5" width="12.5703125" bestFit="1" customWidth="1"/>
  </cols>
  <sheetData>
    <row r="7" spans="2:3" x14ac:dyDescent="0.25">
      <c r="B7" t="s">
        <v>11</v>
      </c>
      <c r="C7" t="s">
        <v>12</v>
      </c>
    </row>
    <row r="8" spans="2:3" x14ac:dyDescent="0.25">
      <c r="B8" t="s">
        <v>13</v>
      </c>
      <c r="C8" t="s">
        <v>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9D02B-B0EB-43E3-A0DA-36BA798F9CFF}">
  <sheetPr codeName="Planilha3"/>
  <dimension ref="A1"/>
  <sheetViews>
    <sheetView zoomScale="85" zoomScaleNormal="85" workbookViewId="0">
      <selection activeCell="B37" sqref="B3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Cálculo de taxa ao mês</vt:lpstr>
      <vt:lpstr>Imposto de renda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Novaes</dc:creator>
  <cp:lastModifiedBy>Arthur Novaes</cp:lastModifiedBy>
  <dcterms:created xsi:type="dcterms:W3CDTF">2023-05-09T23:40:19Z</dcterms:created>
  <dcterms:modified xsi:type="dcterms:W3CDTF">2023-05-12T03:05:41Z</dcterms:modified>
</cp:coreProperties>
</file>